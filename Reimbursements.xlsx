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G:\My Drive\Money\"/>
    </mc:Choice>
  </mc:AlternateContent>
  <xr:revisionPtr revIDLastSave="0" documentId="13_ncr:1_{53901311-CB1B-4E6B-8A43-CE7F6F9CF431}" xr6:coauthVersionLast="47" xr6:coauthVersionMax="47" xr10:uidLastSave="{00000000-0000-0000-0000-000000000000}"/>
  <bookViews>
    <workbookView xWindow="-108" yWindow="-108" windowWidth="23256" windowHeight="12456" xr2:uid="{571069D3-FED8-41B6-95CB-BF31D2E0EDD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10" i="1" l="1"/>
  <c r="E9" i="1"/>
  <c r="E7" i="1"/>
  <c r="E8" i="1"/>
  <c r="D12" i="1"/>
  <c r="H12" i="1" l="1"/>
  <c r="F12" i="1"/>
  <c r="E12" i="1"/>
  <c r="G12" i="1"/>
  <c r="F16" i="1" l="1"/>
  <c r="E16" i="1"/>
  <c r="D16" i="1"/>
  <c r="D15" i="1"/>
  <c r="E15" i="1"/>
  <c r="G15" i="1"/>
  <c r="G16" i="1"/>
  <c r="F15" i="1"/>
</calcChain>
</file>

<file path=xl/sharedStrings.xml><?xml version="1.0" encoding="utf-8"?>
<sst xmlns="http://schemas.openxmlformats.org/spreadsheetml/2006/main" count="24" uniqueCount="22">
  <si>
    <t>Event</t>
  </si>
  <si>
    <t>Item</t>
  </si>
  <si>
    <t>Total Value</t>
  </si>
  <si>
    <t>Paid?</t>
  </si>
  <si>
    <t>Submitted?</t>
  </si>
  <si>
    <t>Reimbursed?</t>
  </si>
  <si>
    <t>Registration Fee</t>
  </si>
  <si>
    <t>Hotel</t>
  </si>
  <si>
    <t>paid</t>
  </si>
  <si>
    <t>submitted</t>
  </si>
  <si>
    <t>Total</t>
  </si>
  <si>
    <t>planned</t>
  </si>
  <si>
    <t>Accumulated</t>
  </si>
  <si>
    <t>Reimbursed value</t>
  </si>
  <si>
    <t>personal</t>
  </si>
  <si>
    <t>Processing expenses</t>
  </si>
  <si>
    <t>Individual</t>
  </si>
  <si>
    <t>Summer School</t>
  </si>
  <si>
    <t>Conference</t>
  </si>
  <si>
    <t>Comments</t>
  </si>
  <si>
    <t>The distinction between total value and reimbursed value can be useful for example if you stay in the same hotel after the summer school for vacation and you only get reimbursed for part of the hotel.</t>
  </si>
  <si>
    <t>The vertical and horizontal chart show the same data. Keep whichever you prefer.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</si>
</sst>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164" formatCode="&quot;$&quot;#,##0.00"/>
  </numFmts>
  <fonts count="3" x14ac:knownFonts="1">
    <font>
      <sz val="11"/>
      <color theme="1"/>
      <name val="Aptos Narrow"/>
      <family val="2"/>
      <scheme val="minor"/>
    </font>
    <font>
      <sz val="10"/>
      <color theme="1"/>
      <name val="Arial"/>
      <family val="2"/>
    </font>
    <font>
      <b/>
      <sz val="10"/>
      <color theme="1"/>
      <name val="Arial"/>
      <family val="2"/>
    </font>
  </fonts>
  <fills count="2">
    <fill>
      <patternFill patternType="none"/>
    </fill>
    <fill>
      <patternFill patternType="gray125"/>
    </fill>
  </fills>
  <borders count="11">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6">
    <xf numFmtId="0" fontId="0" fillId="0" borderId="0" xfId="0"/>
    <xf numFmtId="0" fontId="1" fillId="0" borderId="0" xfId="0" applyFont="1"/>
    <xf numFmtId="0" fontId="1" fillId="0" borderId="0" xfId="0" applyFont="1" applyAlignment="1">
      <alignment wrapText="1"/>
    </xf>
    <xf numFmtId="8" fontId="1" fillId="0" borderId="0" xfId="0" applyNumberFormat="1" applyFont="1" applyAlignment="1">
      <alignment horizontal="right" wrapText="1"/>
    </xf>
    <xf numFmtId="0" fontId="1" fillId="0" borderId="2" xfId="0" applyFont="1" applyBorder="1" applyAlignment="1">
      <alignment wrapText="1"/>
    </xf>
    <xf numFmtId="8" fontId="1" fillId="0" borderId="6" xfId="0" applyNumberFormat="1" applyFont="1" applyBorder="1" applyAlignment="1">
      <alignment horizontal="right" wrapText="1"/>
    </xf>
    <xf numFmtId="0" fontId="1" fillId="0" borderId="8" xfId="0" applyFont="1" applyBorder="1" applyAlignment="1">
      <alignment wrapText="1"/>
    </xf>
    <xf numFmtId="0" fontId="1" fillId="0" borderId="9" xfId="0" applyFont="1" applyBorder="1" applyAlignment="1">
      <alignment wrapText="1"/>
    </xf>
    <xf numFmtId="0" fontId="1" fillId="0" borderId="9" xfId="0" applyFont="1" applyBorder="1" applyAlignment="1">
      <alignment horizontal="center" wrapText="1"/>
    </xf>
    <xf numFmtId="0" fontId="1" fillId="0" borderId="10" xfId="0" applyFont="1" applyBorder="1" applyAlignment="1">
      <alignment wrapText="1"/>
    </xf>
    <xf numFmtId="0" fontId="1" fillId="0" borderId="4" xfId="0" applyFont="1" applyBorder="1" applyAlignment="1">
      <alignment wrapText="1"/>
    </xf>
    <xf numFmtId="0" fontId="1" fillId="0" borderId="7" xfId="0" applyFont="1" applyBorder="1" applyAlignment="1">
      <alignment wrapText="1"/>
    </xf>
    <xf numFmtId="8" fontId="1" fillId="0" borderId="9" xfId="0" applyNumberFormat="1" applyFont="1" applyBorder="1" applyAlignment="1">
      <alignment horizontal="right" wrapText="1"/>
    </xf>
    <xf numFmtId="8" fontId="1" fillId="0" borderId="10" xfId="0" applyNumberFormat="1" applyFont="1" applyBorder="1" applyAlignment="1">
      <alignment horizontal="right" wrapText="1"/>
    </xf>
    <xf numFmtId="0" fontId="1" fillId="0" borderId="8" xfId="0" applyFont="1" applyBorder="1" applyAlignment="1">
      <alignment horizontal="center" wrapText="1"/>
    </xf>
    <xf numFmtId="0" fontId="1" fillId="0" borderId="10" xfId="0" applyFont="1" applyBorder="1" applyAlignment="1">
      <alignment horizontal="center" wrapText="1"/>
    </xf>
    <xf numFmtId="0" fontId="1" fillId="0" borderId="3" xfId="0" applyFont="1" applyBorder="1" applyAlignment="1">
      <alignment horizontal="center" vertical="center" wrapText="1"/>
      <extLst>
        <ext xmlns:xfpb="http://schemas.microsoft.com/office/spreadsheetml/2022/featurepropertybag" uri="{C7286773-470A-42A8-94C5-96B5CB345126}">
          <xfpb:xfComplement i="0"/>
        </ext>
      </extLst>
    </xf>
    <xf numFmtId="0" fontId="1" fillId="0" borderId="0" xfId="0" applyFont="1" applyAlignment="1">
      <alignment horizontal="center" vertical="center" wrapText="1"/>
      <extLst>
        <ext xmlns:xfpb="http://schemas.microsoft.com/office/spreadsheetml/2022/featurepropertybag" uri="{C7286773-470A-42A8-94C5-96B5CB345126}">
          <xfpb:xfComplement i="0"/>
        </ext>
      </extLst>
    </xf>
    <xf numFmtId="0" fontId="1" fillId="0" borderId="4" xfId="0" applyFont="1" applyBorder="1" applyAlignment="1">
      <alignment horizontal="center" vertical="center" wrapText="1"/>
      <extLst>
        <ext xmlns:xfpb="http://schemas.microsoft.com/office/spreadsheetml/2022/featurepropertybag" uri="{C7286773-470A-42A8-94C5-96B5CB345126}">
          <xfpb:xfComplement i="0"/>
        </ext>
      </extLst>
    </xf>
    <xf numFmtId="0" fontId="1" fillId="0" borderId="5" xfId="0" applyFont="1" applyBorder="1" applyAlignment="1">
      <alignment horizontal="center" vertical="center" wrapText="1"/>
      <extLst>
        <ext xmlns:xfpb="http://schemas.microsoft.com/office/spreadsheetml/2022/featurepropertybag" uri="{C7286773-470A-42A8-94C5-96B5CB345126}">
          <xfpb:xfComplement i="0"/>
        </ext>
      </extLst>
    </xf>
    <xf numFmtId="0" fontId="1" fillId="0" borderId="6" xfId="0" applyFont="1" applyBorder="1" applyAlignment="1">
      <alignment horizontal="center" vertical="center" wrapText="1"/>
      <extLst>
        <ext xmlns:xfpb="http://schemas.microsoft.com/office/spreadsheetml/2022/featurepropertybag" uri="{C7286773-470A-42A8-94C5-96B5CB345126}">
          <xfpb:xfComplement i="0"/>
        </ext>
      </extLst>
    </xf>
    <xf numFmtId="0" fontId="1" fillId="0" borderId="7" xfId="0" applyFont="1" applyBorder="1" applyAlignment="1">
      <alignment horizontal="center" vertical="center" wrapText="1"/>
      <extLst>
        <ext xmlns:xfpb="http://schemas.microsoft.com/office/spreadsheetml/2022/featurepropertybag" uri="{C7286773-470A-42A8-94C5-96B5CB345126}">
          <xfpb:xfComplement i="0"/>
        </ext>
      </extLst>
    </xf>
    <xf numFmtId="0" fontId="1" fillId="0" borderId="5" xfId="0" applyFont="1" applyBorder="1" applyAlignment="1">
      <alignment vertical="center" wrapText="1"/>
    </xf>
    <xf numFmtId="164" fontId="1" fillId="0" borderId="0" xfId="0" applyNumberFormat="1" applyFont="1" applyAlignment="1">
      <alignment horizontal="right" wrapText="1"/>
    </xf>
    <xf numFmtId="164" fontId="1" fillId="0" borderId="9" xfId="0" applyNumberFormat="1" applyFont="1" applyBorder="1" applyAlignment="1">
      <alignment horizontal="right" wrapText="1"/>
    </xf>
    <xf numFmtId="8" fontId="1" fillId="0" borderId="0" xfId="0" applyNumberFormat="1" applyFont="1" applyAlignment="1">
      <alignment wrapText="1"/>
    </xf>
    <xf numFmtId="8" fontId="1" fillId="0" borderId="8" xfId="0" applyNumberFormat="1" applyFont="1" applyBorder="1" applyAlignment="1">
      <alignment horizontal="right" wrapText="1"/>
    </xf>
    <xf numFmtId="164" fontId="1" fillId="0" borderId="0" xfId="0" applyNumberFormat="1" applyFont="1" applyAlignment="1">
      <alignment wrapText="1"/>
    </xf>
    <xf numFmtId="164" fontId="1" fillId="0" borderId="2" xfId="0" applyNumberFormat="1" applyFont="1" applyBorder="1" applyAlignment="1">
      <alignment horizontal="right" wrapText="1"/>
    </xf>
    <xf numFmtId="8" fontId="1" fillId="0" borderId="2" xfId="0" applyNumberFormat="1" applyFont="1" applyBorder="1" applyAlignment="1">
      <alignment horizontal="right" wrapText="1"/>
    </xf>
    <xf numFmtId="8" fontId="1" fillId="0" borderId="4" xfId="0" applyNumberFormat="1" applyFont="1" applyBorder="1" applyAlignment="1">
      <alignment wrapText="1"/>
    </xf>
    <xf numFmtId="0" fontId="1" fillId="0" borderId="5" xfId="0" applyFont="1" applyBorder="1"/>
    <xf numFmtId="0" fontId="1" fillId="0" borderId="4" xfId="0" applyFont="1" applyBorder="1"/>
    <xf numFmtId="0" fontId="1" fillId="0" borderId="8" xfId="0" applyFont="1" applyBorder="1" applyAlignment="1">
      <alignment horizontal="left"/>
    </xf>
    <xf numFmtId="0" fontId="1" fillId="0" borderId="10" xfId="0" applyFont="1" applyBorder="1" applyAlignment="1">
      <alignment horizontal="left"/>
    </xf>
    <xf numFmtId="0" fontId="1" fillId="0" borderId="9" xfId="0" applyFont="1" applyBorder="1"/>
    <xf numFmtId="0" fontId="1" fillId="0" borderId="7" xfId="0" applyFont="1" applyBorder="1"/>
    <xf numFmtId="164" fontId="1" fillId="0" borderId="6" xfId="0" applyNumberFormat="1" applyFont="1" applyBorder="1"/>
    <xf numFmtId="164" fontId="1" fillId="0" borderId="0" xfId="0" applyNumberFormat="1" applyFont="1"/>
    <xf numFmtId="0" fontId="1" fillId="0" borderId="1" xfId="0" applyFont="1" applyBorder="1"/>
    <xf numFmtId="164" fontId="1" fillId="0" borderId="7" xfId="0" applyNumberFormat="1" applyFont="1" applyBorder="1"/>
    <xf numFmtId="0" fontId="1" fillId="0" borderId="0" xfId="0" applyFont="1" applyAlignment="1">
      <alignment vertical="top" wrapText="1"/>
    </xf>
    <xf numFmtId="0" fontId="2" fillId="0" borderId="0" xfId="0" applyFont="1"/>
    <xf numFmtId="0" fontId="1" fillId="0" borderId="3" xfId="0" applyFont="1" applyBorder="1" applyAlignment="1">
      <alignment horizontal="left" vertical="center" wrapText="1"/>
    </xf>
    <xf numFmtId="0" fontId="1" fillId="0" borderId="1" xfId="0" applyFont="1" applyBorder="1" applyAlignment="1">
      <alignment vertical="center" wrapText="1"/>
    </xf>
    <xf numFmtId="0" fontId="1" fillId="0" borderId="3" xfId="0" applyFont="1" applyBorder="1" applyAlignment="1">
      <alignment vertical="center" wrapText="1"/>
    </xf>
  </cellXfs>
  <cellStyles count="1">
    <cellStyle name="Normal" xfId="0" builtinId="0"/>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Reimbursement status</a:t>
            </a:r>
          </a:p>
        </c:rich>
      </c:tx>
      <c:overlay val="0"/>
      <c:spPr>
        <a:noFill/>
        <a:ln>
          <a:noFill/>
        </a:ln>
        <a:effectLst/>
      </c:spPr>
    </c:title>
    <c:autoTitleDeleted val="0"/>
    <c:plotArea>
      <c:layout/>
      <c:barChart>
        <c:barDir val="col"/>
        <c:grouping val="stacked"/>
        <c:varyColors val="0"/>
        <c:ser>
          <c:idx val="2"/>
          <c:order val="0"/>
          <c:tx>
            <c:strRef>
              <c:f>Sheet1!$G$14</c:f>
              <c:strCache>
                <c:ptCount val="1"/>
                <c:pt idx="0">
                  <c:v>submitted</c:v>
                </c:pt>
              </c:strCache>
            </c:strRef>
          </c:tx>
          <c:spPr>
            <a:solidFill>
              <a:schemeClr val="accent4"/>
            </a:solidFill>
            <a:ln>
              <a:noFill/>
            </a:ln>
            <a:effectLst/>
          </c:spPr>
          <c:invertIfNegative val="0"/>
          <c:dLbls>
            <c:numFmt formatCode="&quot;$&quot;#,##0.00;\-&quot;$&quot;#,##0.0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pt idx="0">
                <c:v>1</c:v>
              </c:pt>
            </c:numLit>
          </c:cat>
          <c:val>
            <c:numRef>
              <c:f>Sheet1!$G$15</c:f>
              <c:numCache>
                <c:formatCode>"$"#,##0.00_);[Red]\("$"#,##0.00\)</c:formatCode>
                <c:ptCount val="1"/>
                <c:pt idx="0">
                  <c:v>750</c:v>
                </c:pt>
              </c:numCache>
            </c:numRef>
          </c:val>
          <c:extLst>
            <c:ext xmlns:c16="http://schemas.microsoft.com/office/drawing/2014/chart" uri="{C3380CC4-5D6E-409C-BE32-E72D297353CC}">
              <c16:uniqueId val="{00000002-351C-4442-B58C-063F45AE41FD}"/>
            </c:ext>
          </c:extLst>
        </c:ser>
        <c:ser>
          <c:idx val="1"/>
          <c:order val="1"/>
          <c:tx>
            <c:strRef>
              <c:f>Sheet1!$F$14</c:f>
              <c:strCache>
                <c:ptCount val="1"/>
                <c:pt idx="0">
                  <c:v>paid</c:v>
                </c:pt>
              </c:strCache>
            </c:strRef>
          </c:tx>
          <c:spPr>
            <a:solidFill>
              <a:schemeClr val="accent2"/>
            </a:solidFill>
            <a:ln>
              <a:noFill/>
            </a:ln>
            <a:effectLst/>
          </c:spPr>
          <c:invertIfNegative val="0"/>
          <c:dLbls>
            <c:numFmt formatCode="&quot;$&quot;#,##0.00;\-&quot;$&quot;#,##0.0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pt idx="0">
                <c:v>1</c:v>
              </c:pt>
            </c:numLit>
          </c:cat>
          <c:val>
            <c:numRef>
              <c:f>Sheet1!$F$15</c:f>
              <c:numCache>
                <c:formatCode>"$"#,##0.00_);[Red]\("$"#,##0.00\)</c:formatCode>
                <c:ptCount val="1"/>
                <c:pt idx="0">
                  <c:v>250</c:v>
                </c:pt>
              </c:numCache>
            </c:numRef>
          </c:val>
          <c:extLst>
            <c:ext xmlns:c16="http://schemas.microsoft.com/office/drawing/2014/chart" uri="{C3380CC4-5D6E-409C-BE32-E72D297353CC}">
              <c16:uniqueId val="{00000001-351C-4442-B58C-063F45AE41FD}"/>
            </c:ext>
          </c:extLst>
        </c:ser>
        <c:ser>
          <c:idx val="0"/>
          <c:order val="2"/>
          <c:tx>
            <c:strRef>
              <c:f>Sheet1!$E$14</c:f>
              <c:strCache>
                <c:ptCount val="1"/>
                <c:pt idx="0">
                  <c:v>planned</c:v>
                </c:pt>
              </c:strCache>
            </c:strRef>
          </c:tx>
          <c:spPr>
            <a:solidFill>
              <a:schemeClr val="tx1">
                <a:alpha val="10000"/>
              </a:schemeClr>
            </a:solidFill>
            <a:ln>
              <a:noFill/>
            </a:ln>
            <a:effectLst/>
          </c:spPr>
          <c:invertIfNegative val="0"/>
          <c:dLbls>
            <c:numFmt formatCode="&quot;$&quot;#,##0.00;\-&quot;$&quot;#,##0.00;;" sourceLinked="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Lit>
              <c:formatCode>General</c:formatCode>
              <c:ptCount val="1"/>
              <c:pt idx="0">
                <c:v>1</c:v>
              </c:pt>
            </c:numLit>
          </c:cat>
          <c:val>
            <c:numRef>
              <c:f>Sheet1!$E$15</c:f>
              <c:numCache>
                <c:formatCode>"$"#,##0.00_);[Red]\("$"#,##0.00\)</c:formatCode>
                <c:ptCount val="1"/>
                <c:pt idx="0">
                  <c:v>500</c:v>
                </c:pt>
              </c:numCache>
            </c:numRef>
          </c:val>
          <c:extLst>
            <c:ext xmlns:c16="http://schemas.microsoft.com/office/drawing/2014/chart" uri="{C3380CC4-5D6E-409C-BE32-E72D297353CC}">
              <c16:uniqueId val="{00000000-351C-4442-B58C-063F45AE41FD}"/>
            </c:ext>
          </c:extLst>
        </c:ser>
        <c:dLbls>
          <c:dLblPos val="ctr"/>
          <c:showLegendKey val="0"/>
          <c:showVal val="1"/>
          <c:showCatName val="0"/>
          <c:showSerName val="0"/>
          <c:showPercent val="0"/>
          <c:showBubbleSize val="0"/>
        </c:dLbls>
        <c:gapWidth val="25"/>
        <c:overlap val="100"/>
        <c:axId val="550089744"/>
        <c:axId val="550106544"/>
      </c:barChart>
      <c:lineChart>
        <c:grouping val="standard"/>
        <c:varyColors val="0"/>
        <c:ser>
          <c:idx val="3"/>
          <c:order val="3"/>
          <c:tx>
            <c:v>acc_planned</c:v>
          </c:tx>
          <c:spPr>
            <a:ln w="28575" cap="rnd">
              <a:solidFill>
                <a:schemeClr val="accent4"/>
              </a:solidFill>
              <a:round/>
            </a:ln>
            <a:effectLst/>
          </c:spPr>
          <c:marker>
            <c:symbol val="none"/>
          </c:marker>
          <c:dLbls>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val>
            <c:numRef>
              <c:f>Sheet1!$E$16</c:f>
              <c:numCache>
                <c:formatCode>"$"#,##0.00</c:formatCode>
                <c:ptCount val="1"/>
                <c:pt idx="0">
                  <c:v>1500</c:v>
                </c:pt>
              </c:numCache>
            </c:numRef>
          </c:val>
          <c:smooth val="0"/>
          <c:extLst>
            <c:ext xmlns:c16="http://schemas.microsoft.com/office/drawing/2014/chart" uri="{C3380CC4-5D6E-409C-BE32-E72D297353CC}">
              <c16:uniqueId val="{00000007-351C-4442-B58C-063F45AE41FD}"/>
            </c:ext>
          </c:extLst>
        </c:ser>
        <c:ser>
          <c:idx val="4"/>
          <c:order val="4"/>
          <c:tx>
            <c:v>acc_paid</c:v>
          </c:tx>
          <c:spPr>
            <a:ln w="28575" cap="rnd">
              <a:solidFill>
                <a:schemeClr val="accent5"/>
              </a:solidFill>
              <a:round/>
            </a:ln>
            <a:effectLst/>
          </c:spPr>
          <c:marker>
            <c:symbol val="none"/>
          </c:marker>
          <c:dLbls>
            <c:numFmt formatCode="&quot;$&quot;#,##0.00" sourceLinked="0"/>
            <c:spPr>
              <a:noFill/>
              <a:ln>
                <a:noFill/>
              </a:ln>
              <a:effectLst/>
            </c:spPr>
            <c:txPr>
              <a:bodyPr rot="0" spcFirstLastPara="1" vertOverflow="ellipsis" vert="horz" wrap="non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val>
            <c:numRef>
              <c:f>Sheet1!$F$16</c:f>
              <c:numCache>
                <c:formatCode>"$"#,##0.00</c:formatCode>
                <c:ptCount val="1"/>
                <c:pt idx="0">
                  <c:v>1000</c:v>
                </c:pt>
              </c:numCache>
            </c:numRef>
          </c:val>
          <c:smooth val="0"/>
          <c:extLst>
            <c:ext xmlns:c16="http://schemas.microsoft.com/office/drawing/2014/chart" uri="{C3380CC4-5D6E-409C-BE32-E72D297353CC}">
              <c16:uniqueId val="{00000008-351C-4442-B58C-063F45AE41FD}"/>
            </c:ext>
          </c:extLst>
        </c:ser>
        <c:dLbls>
          <c:dLblPos val="ctr"/>
          <c:showLegendKey val="0"/>
          <c:showVal val="1"/>
          <c:showCatName val="0"/>
          <c:showSerName val="0"/>
          <c:showPercent val="0"/>
          <c:showBubbleSize val="0"/>
        </c:dLbls>
        <c:marker val="1"/>
        <c:smooth val="0"/>
        <c:axId val="550089744"/>
        <c:axId val="550106544"/>
        <c:extLst>
          <c:ext xmlns:c15="http://schemas.microsoft.com/office/drawing/2012/chart" uri="{02D57815-91ED-43cb-92C2-25804820EDAC}">
            <c15:filteredLineSeries>
              <c15:ser>
                <c:idx val="5"/>
                <c:order val="5"/>
                <c:tx>
                  <c:v>+submitted</c:v>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Sheet1!$G$12</c15:sqref>
                        </c15:formulaRef>
                      </c:ext>
                    </c:extLst>
                    <c:numCache>
                      <c:formatCode>"$"#,##0.00_);[Red]\("$"#,##0.00\)</c:formatCode>
                      <c:ptCount val="1"/>
                      <c:pt idx="0">
                        <c:v>1250</c:v>
                      </c:pt>
                    </c:numCache>
                  </c:numRef>
                </c:val>
                <c:smooth val="0"/>
                <c:extLst>
                  <c:ext xmlns:c16="http://schemas.microsoft.com/office/drawing/2014/chart" uri="{C3380CC4-5D6E-409C-BE32-E72D297353CC}">
                    <c16:uniqueId val="{00000009-351C-4442-B58C-063F45AE41FD}"/>
                  </c:ext>
                </c:extLst>
              </c15:ser>
            </c15:filteredLineSeries>
          </c:ext>
        </c:extLst>
      </c:lineChart>
      <c:catAx>
        <c:axId val="550089744"/>
        <c:scaling>
          <c:orientation val="minMax"/>
        </c:scaling>
        <c:delete val="1"/>
        <c:axPos val="b"/>
        <c:numFmt formatCode="General" sourceLinked="1"/>
        <c:majorTickMark val="none"/>
        <c:minorTickMark val="none"/>
        <c:tickLblPos val="nextTo"/>
        <c:crossAx val="550106544"/>
        <c:crosses val="autoZero"/>
        <c:auto val="1"/>
        <c:lblAlgn val="ctr"/>
        <c:lblOffset val="100"/>
        <c:noMultiLvlLbl val="0"/>
      </c:catAx>
      <c:valAx>
        <c:axId val="550106544"/>
        <c:scaling>
          <c:orientation val="minMax"/>
          <c:min val="0"/>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_);[Red]\(&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0089744"/>
        <c:crosses val="autoZero"/>
        <c:crossBetween val="between"/>
      </c:valAx>
      <c:spPr>
        <a:noFill/>
        <a:ln>
          <a:noFill/>
        </a:ln>
        <a:effectLst/>
      </c:spPr>
    </c:plotArea>
    <c:legend>
      <c:legendPos val="t"/>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Reimbursement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2"/>
          <c:order val="0"/>
          <c:tx>
            <c:strRef>
              <c:f>Sheet1!$G$14</c:f>
              <c:strCache>
                <c:ptCount val="1"/>
                <c:pt idx="0">
                  <c:v>submitted</c:v>
                </c:pt>
              </c:strCache>
            </c:strRef>
          </c:tx>
          <c:spPr>
            <a:solidFill>
              <a:schemeClr val="accent4"/>
            </a:solidFill>
            <a:ln>
              <a:noFill/>
            </a:ln>
            <a:effectLst/>
          </c:spPr>
          <c:invertIfNegative val="0"/>
          <c:dLbls>
            <c:numFmt formatCode="&quot;$&quot;#,##0.00;\-&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Sheet1!$G$15</c:f>
              <c:numCache>
                <c:formatCode>"$"#,##0.00_);[Red]\("$"#,##0.00\)</c:formatCode>
                <c:ptCount val="1"/>
                <c:pt idx="0">
                  <c:v>750</c:v>
                </c:pt>
              </c:numCache>
            </c:numRef>
          </c:val>
          <c:extLst>
            <c:ext xmlns:c16="http://schemas.microsoft.com/office/drawing/2014/chart" uri="{C3380CC4-5D6E-409C-BE32-E72D297353CC}">
              <c16:uniqueId val="{00000003-5B12-4B50-972A-851B586FB852}"/>
            </c:ext>
          </c:extLst>
        </c:ser>
        <c:ser>
          <c:idx val="1"/>
          <c:order val="1"/>
          <c:tx>
            <c:strRef>
              <c:f>Sheet1!$F$14</c:f>
              <c:strCache>
                <c:ptCount val="1"/>
                <c:pt idx="0">
                  <c:v>paid</c:v>
                </c:pt>
              </c:strCache>
            </c:strRef>
          </c:tx>
          <c:spPr>
            <a:solidFill>
              <a:schemeClr val="accent2"/>
            </a:solidFill>
            <a:ln>
              <a:noFill/>
            </a:ln>
            <a:effectLst/>
          </c:spPr>
          <c:invertIfNegative val="0"/>
          <c:dLbls>
            <c:dLbl>
              <c:idx val="0"/>
              <c:numFmt formatCode="&quot;$&quot;#,##0.00;\-&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8-5B12-4B50-972A-851B586FB8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Sheet1!$F$15</c:f>
              <c:numCache>
                <c:formatCode>"$"#,##0.00_);[Red]\("$"#,##0.00\)</c:formatCode>
                <c:ptCount val="1"/>
                <c:pt idx="0">
                  <c:v>250</c:v>
                </c:pt>
              </c:numCache>
            </c:numRef>
          </c:val>
          <c:extLst>
            <c:ext xmlns:c16="http://schemas.microsoft.com/office/drawing/2014/chart" uri="{C3380CC4-5D6E-409C-BE32-E72D297353CC}">
              <c16:uniqueId val="{00000002-5B12-4B50-972A-851B586FB852}"/>
            </c:ext>
          </c:extLst>
        </c:ser>
        <c:ser>
          <c:idx val="0"/>
          <c:order val="2"/>
          <c:tx>
            <c:strRef>
              <c:f>Sheet1!$E$14</c:f>
              <c:strCache>
                <c:ptCount val="1"/>
                <c:pt idx="0">
                  <c:v>planned</c:v>
                </c:pt>
              </c:strCache>
            </c:strRef>
          </c:tx>
          <c:spPr>
            <a:solidFill>
              <a:schemeClr val="tx1">
                <a:alpha val="10000"/>
              </a:schemeClr>
            </a:solidFill>
            <a:ln>
              <a:noFill/>
            </a:ln>
            <a:effectLst/>
          </c:spPr>
          <c:invertIfNegative val="0"/>
          <c:dLbls>
            <c:dLbl>
              <c:idx val="0"/>
              <c:numFmt formatCode="&quot;$&quot;#,##0.00;\-&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7-5B12-4B50-972A-851B586FB8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Sheet1!$E$15</c:f>
              <c:numCache>
                <c:formatCode>"$"#,##0.00_);[Red]\("$"#,##0.00\)</c:formatCode>
                <c:ptCount val="1"/>
                <c:pt idx="0">
                  <c:v>500</c:v>
                </c:pt>
              </c:numCache>
            </c:numRef>
          </c:val>
          <c:extLst>
            <c:ext xmlns:c16="http://schemas.microsoft.com/office/drawing/2014/chart" uri="{C3380CC4-5D6E-409C-BE32-E72D297353CC}">
              <c16:uniqueId val="{00000001-5B12-4B50-972A-851B586FB852}"/>
            </c:ext>
          </c:extLst>
        </c:ser>
        <c:dLbls>
          <c:dLblPos val="ctr"/>
          <c:showLegendKey val="0"/>
          <c:showVal val="1"/>
          <c:showCatName val="0"/>
          <c:showSerName val="0"/>
          <c:showPercent val="0"/>
          <c:showBubbleSize val="0"/>
        </c:dLbls>
        <c:gapWidth val="25"/>
        <c:overlap val="100"/>
        <c:axId val="1380103664"/>
        <c:axId val="1380098864"/>
      </c:barChart>
      <c:scatterChart>
        <c:scatterStyle val="lineMarker"/>
        <c:varyColors val="0"/>
        <c:ser>
          <c:idx val="3"/>
          <c:order val="3"/>
          <c:tx>
            <c:v>acc_planned</c:v>
          </c:tx>
          <c:spPr>
            <a:ln w="25400"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Sheet1!$E$16</c:f>
              <c:numCache>
                <c:formatCode>"$"#,##0.00</c:formatCode>
                <c:ptCount val="1"/>
                <c:pt idx="0">
                  <c:v>1500</c:v>
                </c:pt>
              </c:numCache>
            </c:numRef>
          </c:xVal>
          <c:yVal>
            <c:numLit>
              <c:formatCode>General</c:formatCode>
              <c:ptCount val="1"/>
              <c:pt idx="0">
                <c:v>0.5</c:v>
              </c:pt>
            </c:numLit>
          </c:yVal>
          <c:smooth val="0"/>
          <c:extLst>
            <c:ext xmlns:c16="http://schemas.microsoft.com/office/drawing/2014/chart" uri="{C3380CC4-5D6E-409C-BE32-E72D297353CC}">
              <c16:uniqueId val="{00000004-5B12-4B50-972A-851B586FB852}"/>
            </c:ext>
          </c:extLst>
        </c:ser>
        <c:ser>
          <c:idx val="4"/>
          <c:order val="4"/>
          <c:tx>
            <c:v>acc_paid</c:v>
          </c:tx>
          <c:spPr>
            <a:ln w="25400" cap="rnd">
              <a:noFill/>
              <a:round/>
            </a:ln>
            <a:effectLst/>
          </c:spPr>
          <c:marker>
            <c:symbol val="none"/>
          </c:marker>
          <c:dLbls>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1"/>
              <c:showSerName val="0"/>
              <c:showPercent val="0"/>
              <c:showBubbleSize val="0"/>
              <c:extLst>
                <c:ext xmlns:c16="http://schemas.microsoft.com/office/drawing/2014/chart" uri="{C3380CC4-5D6E-409C-BE32-E72D297353CC}">
                  <c16:uniqueId val="{00000006-5B12-4B50-972A-851B586FB852}"/>
                </c:ext>
              </c:extLst>
            </c:dLbl>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Sheet1!$F$16</c:f>
              <c:numCache>
                <c:formatCode>"$"#,##0.00</c:formatCode>
                <c:ptCount val="1"/>
                <c:pt idx="0">
                  <c:v>1000</c:v>
                </c:pt>
              </c:numCache>
            </c:numRef>
          </c:xVal>
          <c:yVal>
            <c:numLit>
              <c:formatCode>General</c:formatCode>
              <c:ptCount val="1"/>
              <c:pt idx="0">
                <c:v>0.5</c:v>
              </c:pt>
            </c:numLit>
          </c:yVal>
          <c:smooth val="0"/>
          <c:extLst>
            <c:ext xmlns:c16="http://schemas.microsoft.com/office/drawing/2014/chart" uri="{C3380CC4-5D6E-409C-BE32-E72D297353CC}">
              <c16:uniqueId val="{00000005-5B12-4B50-972A-851B586FB852}"/>
            </c:ext>
          </c:extLst>
        </c:ser>
        <c:dLbls>
          <c:showLegendKey val="0"/>
          <c:showVal val="0"/>
          <c:showCatName val="0"/>
          <c:showSerName val="0"/>
          <c:showPercent val="0"/>
          <c:showBubbleSize val="0"/>
        </c:dLbls>
        <c:axId val="1368445264"/>
        <c:axId val="1368444784"/>
      </c:scatterChart>
      <c:catAx>
        <c:axId val="1380103664"/>
        <c:scaling>
          <c:orientation val="minMax"/>
        </c:scaling>
        <c:delete val="1"/>
        <c:axPos val="l"/>
        <c:majorGridlines>
          <c:spPr>
            <a:ln w="9525" cap="flat" cmpd="sng" algn="ctr">
              <a:solidFill>
                <a:schemeClr val="tx1">
                  <a:lumMod val="15000"/>
                  <a:lumOff val="85000"/>
                </a:schemeClr>
              </a:solidFill>
              <a:round/>
            </a:ln>
            <a:effectLst/>
          </c:spPr>
        </c:majorGridlines>
        <c:numFmt formatCode="&quot;$&quot;#,##0.00_);[Red]\(&quot;$&quot;#,##0.00\)" sourceLinked="1"/>
        <c:majorTickMark val="none"/>
        <c:minorTickMark val="none"/>
        <c:tickLblPos val="nextTo"/>
        <c:crossAx val="1380098864"/>
        <c:crosses val="autoZero"/>
        <c:auto val="1"/>
        <c:lblAlgn val="ctr"/>
        <c:lblOffset val="100"/>
        <c:noMultiLvlLbl val="0"/>
      </c:catAx>
      <c:valAx>
        <c:axId val="1380098864"/>
        <c:scaling>
          <c:orientation val="minMax"/>
          <c:min val="0"/>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0.00_);[Red]\(&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103664"/>
        <c:crosses val="autoZero"/>
        <c:crossBetween val="between"/>
      </c:valAx>
      <c:valAx>
        <c:axId val="1368444784"/>
        <c:scaling>
          <c:orientation val="minMax"/>
          <c:max val="1"/>
        </c:scaling>
        <c:delete val="1"/>
        <c:axPos val="r"/>
        <c:numFmt formatCode="General" sourceLinked="1"/>
        <c:majorTickMark val="out"/>
        <c:minorTickMark val="none"/>
        <c:tickLblPos val="nextTo"/>
        <c:crossAx val="1368445264"/>
        <c:crosses val="max"/>
        <c:crossBetween val="midCat"/>
      </c:valAx>
      <c:valAx>
        <c:axId val="1368445264"/>
        <c:scaling>
          <c:orientation val="minMax"/>
        </c:scaling>
        <c:delete val="1"/>
        <c:axPos val="b"/>
        <c:numFmt formatCode="&quot;$&quot;#,##0.00" sourceLinked="1"/>
        <c:majorTickMark val="out"/>
        <c:minorTickMark val="none"/>
        <c:tickLblPos val="nextTo"/>
        <c:crossAx val="1368444784"/>
        <c:crosses val="autoZero"/>
        <c:crossBetween val="midCat"/>
      </c:valAx>
      <c:spPr>
        <a:noFill/>
        <a:ln>
          <a:noFill/>
        </a:ln>
        <a:effectLst/>
      </c:spPr>
    </c:plotArea>
    <c:legend>
      <c:legendPos val="b"/>
      <c:legendEntry>
        <c:idx val="3"/>
        <c:delete val="1"/>
      </c:legendEntry>
      <c:legendEntry>
        <c:idx val="4"/>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441640</xdr:colOff>
      <xdr:row>0</xdr:row>
      <xdr:rowOff>147001</xdr:rowOff>
    </xdr:from>
    <xdr:to>
      <xdr:col>12</xdr:col>
      <xdr:colOff>158750</xdr:colOff>
      <xdr:row>15</xdr:row>
      <xdr:rowOff>27305</xdr:rowOff>
    </xdr:to>
    <xdr:graphicFrame macro="">
      <xdr:nvGraphicFramePr>
        <xdr:cNvPr id="4" name="Chart 3">
          <a:extLst>
            <a:ext uri="{FF2B5EF4-FFF2-40B4-BE49-F238E27FC236}">
              <a16:creationId xmlns:a16="http://schemas.microsoft.com/office/drawing/2014/main" id="{B2F11241-529E-E143-E260-DBA49FD32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452755</xdr:colOff>
      <xdr:row>2</xdr:row>
      <xdr:rowOff>374650</xdr:rowOff>
    </xdr:from>
    <xdr:to>
      <xdr:col>8</xdr:col>
      <xdr:colOff>287020</xdr:colOff>
      <xdr:row>4</xdr:row>
      <xdr:rowOff>0</xdr:rowOff>
    </xdr:to>
    <xdr:graphicFrame macro="">
      <xdr:nvGraphicFramePr>
        <xdr:cNvPr id="7" name="Chart 6">
          <a:extLst>
            <a:ext uri="{FF2B5EF4-FFF2-40B4-BE49-F238E27FC236}">
              <a16:creationId xmlns:a16="http://schemas.microsoft.com/office/drawing/2014/main" id="{F65E0B6D-854E-6E44-0954-0DCD971575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298451</xdr:colOff>
      <xdr:row>0</xdr:row>
      <xdr:rowOff>152400</xdr:rowOff>
    </xdr:from>
    <xdr:to>
      <xdr:col>6</xdr:col>
      <xdr:colOff>722295</xdr:colOff>
      <xdr:row>2</xdr:row>
      <xdr:rowOff>133350</xdr:rowOff>
    </xdr:to>
    <xdr:grpSp>
      <xdr:nvGrpSpPr>
        <xdr:cNvPr id="2" name="Group 1">
          <a:extLst>
            <a:ext uri="{FF2B5EF4-FFF2-40B4-BE49-F238E27FC236}">
              <a16:creationId xmlns:a16="http://schemas.microsoft.com/office/drawing/2014/main" id="{FD7DBC21-FE0E-4563-BA74-7DB0C16E086A}"/>
            </a:ext>
          </a:extLst>
        </xdr:cNvPr>
        <xdr:cNvGrpSpPr/>
      </xdr:nvGrpSpPr>
      <xdr:grpSpPr>
        <a:xfrm flipH="1">
          <a:off x="1701801" y="152400"/>
          <a:ext cx="4036994" cy="311150"/>
          <a:chOff x="9051176" y="369438"/>
          <a:chExt cx="4268059" cy="273794"/>
        </a:xfrm>
      </xdr:grpSpPr>
      <xdr:sp macro="" textlink="">
        <xdr:nvSpPr>
          <xdr:cNvPr id="3" name="Rectangle: Rounded Corners 2">
            <a:extLst>
              <a:ext uri="{FF2B5EF4-FFF2-40B4-BE49-F238E27FC236}">
                <a16:creationId xmlns:a16="http://schemas.microsoft.com/office/drawing/2014/main" id="{3BADB0DC-403F-7FD5-2FA8-14F64FF19B8C}"/>
              </a:ext>
            </a:extLst>
          </xdr:cNvPr>
          <xdr:cNvSpPr/>
        </xdr:nvSpPr>
        <xdr:spPr>
          <a:xfrm>
            <a:off x="9051176" y="369438"/>
            <a:ext cx="870064" cy="273794"/>
          </a:xfrm>
          <a:prstGeom prst="roundRect">
            <a:avLst/>
          </a:prstGeom>
          <a:solidFill>
            <a:srgbClr val="E6E6E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Plan</a:t>
            </a:r>
          </a:p>
        </xdr:txBody>
      </xdr:sp>
      <xdr:sp macro="" textlink="">
        <xdr:nvSpPr>
          <xdr:cNvPr id="5" name="Rectangle: Rounded Corners 4">
            <a:extLst>
              <a:ext uri="{FF2B5EF4-FFF2-40B4-BE49-F238E27FC236}">
                <a16:creationId xmlns:a16="http://schemas.microsoft.com/office/drawing/2014/main" id="{E126D05A-EA7B-DA7C-A626-B0C58E0072CC}"/>
              </a:ext>
            </a:extLst>
          </xdr:cNvPr>
          <xdr:cNvSpPr/>
        </xdr:nvSpPr>
        <xdr:spPr>
          <a:xfrm>
            <a:off x="11316506" y="369438"/>
            <a:ext cx="870064" cy="273794"/>
          </a:xfrm>
          <a:prstGeom prst="roundRect">
            <a:avLst/>
          </a:prstGeom>
          <a:solidFill>
            <a:srgbClr val="0F9ED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Submit</a:t>
            </a:r>
          </a:p>
        </xdr:txBody>
      </xdr:sp>
      <xdr:sp macro="" textlink="">
        <xdr:nvSpPr>
          <xdr:cNvPr id="6" name="Rectangle: Rounded Corners 5">
            <a:extLst>
              <a:ext uri="{FF2B5EF4-FFF2-40B4-BE49-F238E27FC236}">
                <a16:creationId xmlns:a16="http://schemas.microsoft.com/office/drawing/2014/main" id="{68EB65E6-7247-5D67-7F0D-319F88460199}"/>
              </a:ext>
            </a:extLst>
          </xdr:cNvPr>
          <xdr:cNvSpPr/>
        </xdr:nvSpPr>
        <xdr:spPr>
          <a:xfrm>
            <a:off x="12449171" y="369438"/>
            <a:ext cx="870064" cy="273794"/>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Reimburse</a:t>
            </a:r>
          </a:p>
        </xdr:txBody>
      </xdr:sp>
      <xdr:sp macro="" textlink="">
        <xdr:nvSpPr>
          <xdr:cNvPr id="8" name="Rectangle: Rounded Corners 7">
            <a:extLst>
              <a:ext uri="{FF2B5EF4-FFF2-40B4-BE49-F238E27FC236}">
                <a16:creationId xmlns:a16="http://schemas.microsoft.com/office/drawing/2014/main" id="{DA2701FE-4077-C08A-B93B-0C71B4DE983E}"/>
              </a:ext>
            </a:extLst>
          </xdr:cNvPr>
          <xdr:cNvSpPr/>
        </xdr:nvSpPr>
        <xdr:spPr>
          <a:xfrm>
            <a:off x="10183840" y="369438"/>
            <a:ext cx="870064" cy="273794"/>
          </a:xfrm>
          <a:prstGeom prst="roundRect">
            <a:avLst/>
          </a:prstGeom>
          <a:solidFill>
            <a:schemeClr val="accent2"/>
          </a:solidFill>
          <a:ln>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ysClr val="windowText" lastClr="000000"/>
                </a:solidFill>
              </a:rPr>
              <a:t>Pay</a:t>
            </a:r>
          </a:p>
        </xdr:txBody>
      </xdr:sp>
      <xdr:cxnSp macro="">
        <xdr:nvCxnSpPr>
          <xdr:cNvPr id="9" name="Straight Arrow Connector 8">
            <a:extLst>
              <a:ext uri="{FF2B5EF4-FFF2-40B4-BE49-F238E27FC236}">
                <a16:creationId xmlns:a16="http://schemas.microsoft.com/office/drawing/2014/main" id="{30777156-BF45-2A79-A983-1FE56835A004}"/>
              </a:ext>
            </a:extLst>
          </xdr:cNvPr>
          <xdr:cNvCxnSpPr>
            <a:stCxn id="3" idx="3"/>
            <a:endCxn id="8" idx="1"/>
          </xdr:cNvCxnSpPr>
        </xdr:nvCxnSpPr>
        <xdr:spPr>
          <a:xfrm>
            <a:off x="9921240" y="506335"/>
            <a:ext cx="262601"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0" name="Straight Arrow Connector 9">
            <a:extLst>
              <a:ext uri="{FF2B5EF4-FFF2-40B4-BE49-F238E27FC236}">
                <a16:creationId xmlns:a16="http://schemas.microsoft.com/office/drawing/2014/main" id="{863F723E-5622-92A4-EE86-44E434437FA3}"/>
              </a:ext>
            </a:extLst>
          </xdr:cNvPr>
          <xdr:cNvCxnSpPr>
            <a:stCxn id="8" idx="3"/>
            <a:endCxn id="5" idx="1"/>
          </xdr:cNvCxnSpPr>
        </xdr:nvCxnSpPr>
        <xdr:spPr>
          <a:xfrm>
            <a:off x="11053904" y="506335"/>
            <a:ext cx="262602"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xnSp macro="">
        <xdr:nvCxnSpPr>
          <xdr:cNvPr id="11" name="Straight Arrow Connector 10">
            <a:extLst>
              <a:ext uri="{FF2B5EF4-FFF2-40B4-BE49-F238E27FC236}">
                <a16:creationId xmlns:a16="http://schemas.microsoft.com/office/drawing/2014/main" id="{619B601E-31AB-F1EE-BB19-EDFDA034D714}"/>
              </a:ext>
            </a:extLst>
          </xdr:cNvPr>
          <xdr:cNvCxnSpPr>
            <a:stCxn id="5" idx="3"/>
            <a:endCxn id="6" idx="1"/>
          </xdr:cNvCxnSpPr>
        </xdr:nvCxnSpPr>
        <xdr:spPr>
          <a:xfrm>
            <a:off x="12186570" y="506335"/>
            <a:ext cx="262602" cy="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grp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5D70-7986-4D57-A6D6-62427F5BBBE2}">
  <dimension ref="B2:N18"/>
  <sheetViews>
    <sheetView tabSelected="1" zoomScale="120" zoomScaleNormal="120" workbookViewId="0">
      <selection activeCell="N9" sqref="N9"/>
    </sheetView>
  </sheetViews>
  <sheetFormatPr defaultRowHeight="13.2" x14ac:dyDescent="0.25"/>
  <cols>
    <col min="1" max="1" width="8.88671875" style="1"/>
    <col min="2" max="2" width="11.5546875" style="1" bestFit="1" customWidth="1"/>
    <col min="3" max="3" width="15.44140625" style="1" bestFit="1" customWidth="1"/>
    <col min="4" max="4" width="10.109375" style="1" customWidth="1"/>
    <col min="5" max="5" width="15.44140625" style="1" bestFit="1" customWidth="1"/>
    <col min="6" max="7" width="11.6640625" style="1" customWidth="1"/>
    <col min="8" max="8" width="11.6640625" style="1" bestFit="1" customWidth="1"/>
    <col min="9" max="13" width="8.88671875" style="1"/>
    <col min="14" max="14" width="26.5546875" style="1" customWidth="1"/>
    <col min="15" max="16384" width="8.88671875" style="1"/>
  </cols>
  <sheetData>
    <row r="2" spans="2:14" x14ac:dyDescent="0.25">
      <c r="N2" s="42" t="s">
        <v>19</v>
      </c>
    </row>
    <row r="3" spans="2:14" ht="39.6" x14ac:dyDescent="0.25">
      <c r="N3" s="2" t="s">
        <v>21</v>
      </c>
    </row>
    <row r="4" spans="2:14" ht="105.6" x14ac:dyDescent="0.25">
      <c r="N4" s="41" t="s">
        <v>20</v>
      </c>
    </row>
    <row r="5" spans="2:14" ht="13.8" thickBot="1" x14ac:dyDescent="0.3"/>
    <row r="6" spans="2:14" ht="14.4" customHeight="1" thickBot="1" x14ac:dyDescent="0.3">
      <c r="B6" s="6" t="s">
        <v>0</v>
      </c>
      <c r="C6" s="9" t="s">
        <v>1</v>
      </c>
      <c r="D6" s="7" t="s">
        <v>2</v>
      </c>
      <c r="E6" s="7" t="s">
        <v>13</v>
      </c>
      <c r="F6" s="14" t="s">
        <v>3</v>
      </c>
      <c r="G6" s="8" t="s">
        <v>4</v>
      </c>
      <c r="H6" s="15" t="s">
        <v>5</v>
      </c>
    </row>
    <row r="7" spans="2:14" ht="14.4" customHeight="1" x14ac:dyDescent="0.25">
      <c r="B7" s="44" t="s">
        <v>17</v>
      </c>
      <c r="C7" s="10" t="s">
        <v>6</v>
      </c>
      <c r="D7" s="23">
        <v>500</v>
      </c>
      <c r="E7" s="23">
        <f>D7</f>
        <v>500</v>
      </c>
      <c r="F7" s="16" t="b">
        <v>1</v>
      </c>
      <c r="G7" s="17" t="b">
        <v>1</v>
      </c>
      <c r="H7" s="18" t="b">
        <v>1</v>
      </c>
    </row>
    <row r="8" spans="2:14" ht="14.4" customHeight="1" x14ac:dyDescent="0.25">
      <c r="B8" s="45"/>
      <c r="C8" s="10" t="s">
        <v>7</v>
      </c>
      <c r="D8" s="23">
        <v>1000</v>
      </c>
      <c r="E8" s="23">
        <f>D8/8*6</f>
        <v>750</v>
      </c>
      <c r="F8" s="16" t="b">
        <v>1</v>
      </c>
      <c r="G8" s="17" t="b">
        <v>1</v>
      </c>
      <c r="H8" s="18" t="b">
        <v>0</v>
      </c>
    </row>
    <row r="9" spans="2:14" ht="14.4" customHeight="1" x14ac:dyDescent="0.25">
      <c r="B9" s="43" t="s">
        <v>18</v>
      </c>
      <c r="C9" s="10" t="s">
        <v>6</v>
      </c>
      <c r="D9" s="23">
        <v>250</v>
      </c>
      <c r="E9" s="23">
        <f>D9</f>
        <v>250</v>
      </c>
      <c r="F9" s="16" t="b">
        <v>1</v>
      </c>
      <c r="G9" s="17" t="b">
        <v>0</v>
      </c>
      <c r="H9" s="18" t="b">
        <v>0</v>
      </c>
    </row>
    <row r="10" spans="2:14" ht="14.4" customHeight="1" x14ac:dyDescent="0.25">
      <c r="B10" s="43"/>
      <c r="C10" s="10" t="s">
        <v>7</v>
      </c>
      <c r="D10" s="23">
        <v>500</v>
      </c>
      <c r="E10" s="23">
        <f>D10</f>
        <v>500</v>
      </c>
      <c r="F10" s="16" t="b">
        <v>0</v>
      </c>
      <c r="G10" s="17" t="b">
        <v>0</v>
      </c>
      <c r="H10" s="18" t="b">
        <v>0</v>
      </c>
    </row>
    <row r="11" spans="2:14" ht="14.4" customHeight="1" thickBot="1" x14ac:dyDescent="0.3">
      <c r="B11" s="22"/>
      <c r="C11" s="11"/>
      <c r="D11" s="5"/>
      <c r="E11" s="5"/>
      <c r="F11" s="19" t="b">
        <v>0</v>
      </c>
      <c r="G11" s="20" t="b">
        <v>0</v>
      </c>
      <c r="H11" s="21" t="b">
        <v>0</v>
      </c>
    </row>
    <row r="12" spans="2:14" ht="14.4" customHeight="1" thickBot="1" x14ac:dyDescent="0.3">
      <c r="B12" s="6" t="s">
        <v>10</v>
      </c>
      <c r="C12" s="9"/>
      <c r="D12" s="24">
        <f>SUM(D7:D11)</f>
        <v>2250</v>
      </c>
      <c r="E12" s="24">
        <f>SUM(E7:E11)</f>
        <v>2000</v>
      </c>
      <c r="F12" s="26">
        <f>SUMIF(F7:F11, TRUE, $E7:$E11)</f>
        <v>1500</v>
      </c>
      <c r="G12" s="12">
        <f>SUMIF(G7:G11, TRUE, $E7:$E11)</f>
        <v>1250</v>
      </c>
      <c r="H12" s="13">
        <f>SUMIF(H7:H11, TRUE, $E7:$E11)</f>
        <v>500</v>
      </c>
    </row>
    <row r="13" spans="2:14" ht="14.4" customHeight="1" thickBot="1" x14ac:dyDescent="0.3">
      <c r="B13" s="2"/>
      <c r="C13" s="4"/>
      <c r="D13" s="23"/>
      <c r="E13" s="28"/>
      <c r="F13" s="3"/>
      <c r="G13" s="3"/>
      <c r="H13" s="29"/>
    </row>
    <row r="14" spans="2:14" ht="14.4" customHeight="1" thickBot="1" x14ac:dyDescent="0.3">
      <c r="B14" s="33" t="s">
        <v>15</v>
      </c>
      <c r="C14" s="34"/>
      <c r="D14" s="35" t="s">
        <v>14</v>
      </c>
      <c r="E14" s="7" t="s">
        <v>11</v>
      </c>
      <c r="F14" s="7" t="s">
        <v>8</v>
      </c>
      <c r="G14" s="9" t="s">
        <v>9</v>
      </c>
      <c r="H14" s="2"/>
    </row>
    <row r="15" spans="2:14" ht="14.4" customHeight="1" x14ac:dyDescent="0.25">
      <c r="B15" s="39" t="s">
        <v>16</v>
      </c>
      <c r="C15" s="32"/>
      <c r="D15" s="27">
        <f>D12-E12</f>
        <v>250</v>
      </c>
      <c r="E15" s="25">
        <f>E12-F12</f>
        <v>500</v>
      </c>
      <c r="F15" s="25">
        <f t="shared" ref="F15:G15" si="0">F12-G12</f>
        <v>250</v>
      </c>
      <c r="G15" s="30">
        <f t="shared" si="0"/>
        <v>750</v>
      </c>
      <c r="H15" s="25"/>
    </row>
    <row r="16" spans="2:14" ht="13.8" thickBot="1" x14ac:dyDescent="0.3">
      <c r="B16" s="31" t="s">
        <v>12</v>
      </c>
      <c r="C16" s="36"/>
      <c r="D16" s="37">
        <f>D12-$H$12</f>
        <v>1750</v>
      </c>
      <c r="E16" s="37">
        <f>E12-$H$12</f>
        <v>1500</v>
      </c>
      <c r="F16" s="37">
        <f>F12-$H$12</f>
        <v>1000</v>
      </c>
      <c r="G16" s="40">
        <f>G12-$H$12</f>
        <v>750</v>
      </c>
    </row>
    <row r="18" spans="5:7" x14ac:dyDescent="0.25">
      <c r="E18" s="38"/>
      <c r="F18" s="38"/>
      <c r="G18" s="38"/>
    </row>
  </sheetData>
  <mergeCells count="2">
    <mergeCell ref="B9:B10"/>
    <mergeCell ref="B7:B8"/>
  </mergeCells>
  <conditionalFormatting sqref="G7:G11">
    <cfRule type="expression" dxfId="1" priority="4">
      <formula>AND($F7=FALSE, $G7=TRUE)</formula>
    </cfRule>
  </conditionalFormatting>
  <conditionalFormatting sqref="H7:H11">
    <cfRule type="expression" dxfId="0" priority="3">
      <formula>AND($G7=FALSE, $H7=TRUE)</formula>
    </cfRule>
  </conditionalFormatting>
  <dataValidations count="2">
    <dataValidation type="custom" allowBlank="1" showErrorMessage="1" errorTitle="Select &quot;Paid&quot; first!" error="You cannot submit a reimbursement before you paid it." sqref="G7:G11" xr:uid="{53BB569F-FAF1-4425-9E6C-0CFAAC594CB4}">
      <formula1>OR(G7=FALSE, $F7=TRUE)</formula1>
    </dataValidation>
    <dataValidation type="custom" allowBlank="1" showErrorMessage="1" errorTitle="Select &quot;Submitted&quot; first!" error="You cannot reimbursed before you submitted a reimbursement." sqref="H7:H11" xr:uid="{7908B7B4-CEE3-4E3E-86D1-26755AB7D487}">
      <formula1>OR(H7=FALSE, $G7=TRUE)</formula1>
    </dataValidation>
  </dataValidations>
  <pageMargins left="0.7" right="0.7" top="0.75" bottom="0.75" header="0.3" footer="0.3"/>
  <ignoredErrors>
    <ignoredError sqref="E8" formula="1"/>
  </ignoredError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Thrien, Tobias</dc:creator>
  <cp:lastModifiedBy>Thrien, Tobias</cp:lastModifiedBy>
  <dcterms:created xsi:type="dcterms:W3CDTF">2026-04-30T20:12:27Z</dcterms:created>
  <dcterms:modified xsi:type="dcterms:W3CDTF">2026-07-06T15:48:01Z</dcterms:modified>
</cp:coreProperties>
</file>